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 patternType="solid">
          <fgColor rgb="00FF9999"/>
          <bgColor rgb="00FF9999"/>
        </patternFill>
      </fill>
    </dxf>
    <dxf>
      <fill>
        <patternFill patternType="solid">
          <fgColor rgb="00FFCC99"/>
          <bgColor rgb="00FFCC99"/>
        </patternFill>
      </fill>
    </dxf>
    <dxf>
      <fill>
        <patternFill patternType="solid">
          <fgColor rgb="00CCFFCC"/>
          <bgColor rgb="00CCFF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1" t="inlineStr">
        <is>
          <t>Risk ID</t>
        </is>
      </c>
      <c r="B1" s="1" t="inlineStr">
        <is>
          <t>Clause</t>
        </is>
      </c>
      <c r="C1" s="1" t="inlineStr">
        <is>
          <t>Finding</t>
        </is>
      </c>
      <c r="D1" s="1" t="inlineStr">
        <is>
          <t>Likelihood</t>
        </is>
      </c>
      <c r="E1" s="1" t="inlineStr">
        <is>
          <t>Impact</t>
        </is>
      </c>
      <c r="F1" s="1" t="inlineStr">
        <is>
          <t>Risk Score</t>
        </is>
      </c>
      <c r="G1" s="1" t="inlineStr">
        <is>
          <t>Risk Level</t>
        </is>
      </c>
      <c r="H1" s="1" t="inlineStr">
        <is>
          <t>Recommended Control</t>
        </is>
      </c>
      <c r="I1" s="1" t="inlineStr">
        <is>
          <t>Owner</t>
        </is>
      </c>
      <c r="J1" s="1" t="inlineStr">
        <is>
          <t>Status</t>
        </is>
      </c>
    </row>
    <row r="2">
      <c r="A2" t="inlineStr">
        <is>
          <t>R1</t>
        </is>
      </c>
      <c r="B2" t="inlineStr">
        <is>
          <t>5.2</t>
        </is>
      </c>
      <c r="C2" t="inlineStr">
        <is>
          <t>Undocumented ISMS Policy</t>
        </is>
      </c>
      <c r="D2" t="n">
        <v>4</v>
      </c>
      <c r="E2" t="n">
        <v>5</v>
      </c>
      <c r="F2">
        <f>D2*E2</f>
        <v/>
      </c>
      <c r="G2">
        <f>IF(F2&gt;=15,"High",IF(F2&gt;=8,"Medium","Low"))</f>
        <v/>
      </c>
      <c r="H2" t="inlineStr">
        <is>
          <t>Develop ISMS policy</t>
        </is>
      </c>
      <c r="I2" t="inlineStr">
        <is>
          <t>Management</t>
        </is>
      </c>
      <c r="J2" t="inlineStr">
        <is>
          <t>Open</t>
        </is>
      </c>
    </row>
    <row r="3">
      <c r="A3" t="inlineStr">
        <is>
          <t>R2</t>
        </is>
      </c>
      <c r="B3" t="inlineStr">
        <is>
          <t>5.2</t>
        </is>
      </c>
      <c r="C3" t="inlineStr">
        <is>
          <t>No compliance commitment</t>
        </is>
      </c>
      <c r="D3" t="n">
        <v>4</v>
      </c>
      <c r="E3" t="n">
        <v>4</v>
      </c>
      <c r="F3">
        <f>D3*E3</f>
        <v/>
      </c>
      <c r="G3">
        <f>IF(F3&gt;=15,"High",IF(F3&gt;=8,"Medium","Low"))</f>
        <v/>
      </c>
      <c r="H3" t="inlineStr">
        <is>
          <t>Include compliance commitments</t>
        </is>
      </c>
      <c r="I3" t="inlineStr">
        <is>
          <t>Management</t>
        </is>
      </c>
      <c r="J3" t="inlineStr">
        <is>
          <t>Open</t>
        </is>
      </c>
    </row>
    <row r="4">
      <c r="A4" t="inlineStr">
        <is>
          <t>R3</t>
        </is>
      </c>
      <c r="B4" t="inlineStr">
        <is>
          <t>5.2</t>
        </is>
      </c>
      <c r="C4" t="inlineStr">
        <is>
          <t>Outdated policy</t>
        </is>
      </c>
      <c r="D4" t="n">
        <v>3</v>
      </c>
      <c r="E4" t="n">
        <v>4</v>
      </c>
      <c r="F4">
        <f>D4*E4</f>
        <v/>
      </c>
      <c r="G4">
        <f>IF(F4&gt;=15,"High",IF(F4&gt;=8,"Medium","Low"))</f>
        <v/>
      </c>
      <c r="H4" t="inlineStr">
        <is>
          <t>Periodic review policy</t>
        </is>
      </c>
      <c r="I4" t="inlineStr">
        <is>
          <t>Management</t>
        </is>
      </c>
      <c r="J4" t="inlineStr">
        <is>
          <t>Open</t>
        </is>
      </c>
    </row>
    <row r="5">
      <c r="A5" t="inlineStr">
        <is>
          <t>R4</t>
        </is>
      </c>
      <c r="B5" t="inlineStr">
        <is>
          <t>6.1</t>
        </is>
      </c>
      <c r="C5" t="inlineStr">
        <is>
          <t>No risk assessment process</t>
        </is>
      </c>
      <c r="D5" t="n">
        <v>5</v>
      </c>
      <c r="E5" t="n">
        <v>5</v>
      </c>
      <c r="F5">
        <f>D5*E5</f>
        <v/>
      </c>
      <c r="G5">
        <f>IF(F5&gt;=15,"High",IF(F5&gt;=8,"Medium","Low"))</f>
        <v/>
      </c>
      <c r="H5" t="inlineStr">
        <is>
          <t>Implement risk framework</t>
        </is>
      </c>
      <c r="I5" t="inlineStr">
        <is>
          <t>Security Team</t>
        </is>
      </c>
      <c r="J5" t="inlineStr">
        <is>
          <t>Open</t>
        </is>
      </c>
    </row>
    <row r="6">
      <c r="A6" t="inlineStr">
        <is>
          <t>R5</t>
        </is>
      </c>
      <c r="B6" t="inlineStr">
        <is>
          <t>6.1</t>
        </is>
      </c>
      <c r="C6" t="inlineStr">
        <is>
          <t>Outdated risk register</t>
        </is>
      </c>
      <c r="D6" t="n">
        <v>4</v>
      </c>
      <c r="E6" t="n">
        <v>5</v>
      </c>
      <c r="F6">
        <f>D6*E6</f>
        <v/>
      </c>
      <c r="G6">
        <f>IF(F6&gt;=15,"High",IF(F6&gt;=8,"Medium","Low"))</f>
        <v/>
      </c>
      <c r="H6" t="inlineStr">
        <is>
          <t>Update risk register</t>
        </is>
      </c>
      <c r="I6" t="inlineStr">
        <is>
          <t>Security Team</t>
        </is>
      </c>
      <c r="J6" t="inlineStr">
        <is>
          <t>Open</t>
        </is>
      </c>
    </row>
    <row r="7">
      <c r="A7" t="inlineStr">
        <is>
          <t>R6</t>
        </is>
      </c>
      <c r="B7" t="inlineStr">
        <is>
          <t>6.1</t>
        </is>
      </c>
      <c r="C7" t="inlineStr">
        <is>
          <t>No Statement of Applicability</t>
        </is>
      </c>
      <c r="D7" t="n">
        <v>4</v>
      </c>
      <c r="E7" t="n">
        <v>4</v>
      </c>
      <c r="F7">
        <f>D7*E7</f>
        <v/>
      </c>
      <c r="G7">
        <f>IF(F7&gt;=15,"High",IF(F7&gt;=8,"Medium","Low"))</f>
        <v/>
      </c>
      <c r="H7" t="inlineStr">
        <is>
          <t>Create SoA</t>
        </is>
      </c>
      <c r="I7" t="inlineStr">
        <is>
          <t>Security Team</t>
        </is>
      </c>
      <c r="J7" t="inlineStr">
        <is>
          <t>Open</t>
        </is>
      </c>
    </row>
    <row r="8">
      <c r="A8" t="inlineStr">
        <is>
          <t>R7</t>
        </is>
      </c>
      <c r="B8" t="inlineStr">
        <is>
          <t>9.2</t>
        </is>
      </c>
      <c r="C8" t="inlineStr">
        <is>
          <t>No audit program</t>
        </is>
      </c>
      <c r="D8" t="n">
        <v>5</v>
      </c>
      <c r="E8" t="n">
        <v>5</v>
      </c>
      <c r="F8">
        <f>D8*E8</f>
        <v/>
      </c>
      <c r="G8">
        <f>IF(F8&gt;=15,"High",IF(F8&gt;=8,"Medium","Low"))</f>
        <v/>
      </c>
      <c r="H8" t="inlineStr">
        <is>
          <t>Develop audit program</t>
        </is>
      </c>
      <c r="I8" t="inlineStr">
        <is>
          <t>Audit Team</t>
        </is>
      </c>
      <c r="J8" t="inlineStr">
        <is>
          <t>Open</t>
        </is>
      </c>
    </row>
    <row r="9">
      <c r="A9" t="inlineStr">
        <is>
          <t>R8</t>
        </is>
      </c>
      <c r="B9" t="inlineStr">
        <is>
          <t>9.2</t>
        </is>
      </c>
      <c r="C9" t="inlineStr">
        <is>
          <t>Audits not conducted</t>
        </is>
      </c>
      <c r="D9" t="n">
        <v>4</v>
      </c>
      <c r="E9" t="n">
        <v>5</v>
      </c>
      <c r="F9">
        <f>D9*E9</f>
        <v/>
      </c>
      <c r="G9">
        <f>IF(F9&gt;=15,"High",IF(F9&gt;=8,"Medium","Low"))</f>
        <v/>
      </c>
      <c r="H9" t="inlineStr">
        <is>
          <t>Schedule audits</t>
        </is>
      </c>
      <c r="I9" t="inlineStr">
        <is>
          <t>Audit Team</t>
        </is>
      </c>
      <c r="J9" t="inlineStr">
        <is>
          <t>Open</t>
        </is>
      </c>
    </row>
    <row r="10">
      <c r="A10" t="inlineStr">
        <is>
          <t>R9</t>
        </is>
      </c>
      <c r="B10" t="inlineStr">
        <is>
          <t>9.2</t>
        </is>
      </c>
      <c r="C10" t="inlineStr">
        <is>
          <t>No audit evidence</t>
        </is>
      </c>
      <c r="D10" t="n">
        <v>4</v>
      </c>
      <c r="E10" t="n">
        <v>4</v>
      </c>
      <c r="F10">
        <f>D10*E10</f>
        <v/>
      </c>
      <c r="G10">
        <f>IF(F10&gt;=15,"High",IF(F10&gt;=8,"Medium","Low"))</f>
        <v/>
      </c>
      <c r="H10" t="inlineStr">
        <is>
          <t>Maintain audit records</t>
        </is>
      </c>
      <c r="I10" t="inlineStr">
        <is>
          <t>Audit Team</t>
        </is>
      </c>
      <c r="J10" t="inlineStr">
        <is>
          <t>Open</t>
        </is>
      </c>
    </row>
  </sheetData>
  <conditionalFormatting sqref="G2:G20">
    <cfRule type="expression" priority="1" dxfId="0">
      <formula>G2="High"</formula>
    </cfRule>
    <cfRule type="expression" priority="2" dxfId="1">
      <formula>G2="Medium"</formula>
    </cfRule>
    <cfRule type="expression" priority="3" dxfId="2">
      <formula>G2="Low"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2026-03-17T07:54:38Z</dcterms:created>
  <dcterms:modified xmlns:dcterms="http://purl.org/dc/terms/" xmlns:xsi="http://www.w3.org/2001/XMLSchema-instance" xsi:type="dcterms:W3CDTF">2026-03-17T07:54:38Z</dcterms:modified>
</cp:coreProperties>
</file>